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9EA7C670-60EF-4257-80BC-9F3B24ACF9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 Data sheet" sheetId="1" r:id="rId1"/>
    <sheet name="Summary" sheetId="2" r:id="rId2"/>
  </sheets>
  <externalReferences>
    <externalReference r:id="rId3"/>
  </externalReferences>
  <definedNames>
    <definedName name="BasicSalary">'Employee Data sheet'!$E$2:$E$21</definedName>
    <definedName name="NetSalary">'Employee Data sheet'!$J$2:$J$21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2" l="1"/>
  <c r="B2" i="2"/>
  <c r="B3" i="2"/>
  <c r="I3" i="1"/>
  <c r="J3" i="1" s="1"/>
  <c r="M3" i="1" s="1"/>
  <c r="I4" i="1"/>
  <c r="J4" i="1" s="1"/>
  <c r="M4" i="1" s="1"/>
  <c r="I5" i="1"/>
  <c r="J5" i="1" s="1"/>
  <c r="M5" i="1" s="1"/>
  <c r="I6" i="1"/>
  <c r="J6" i="1" s="1"/>
  <c r="M6" i="1" s="1"/>
  <c r="I7" i="1"/>
  <c r="J7" i="1" s="1"/>
  <c r="M7" i="1" s="1"/>
  <c r="I8" i="1"/>
  <c r="J8" i="1" s="1"/>
  <c r="M8" i="1" s="1"/>
  <c r="I9" i="1"/>
  <c r="J9" i="1" s="1"/>
  <c r="M9" i="1" s="1"/>
  <c r="I10" i="1"/>
  <c r="J10" i="1" s="1"/>
  <c r="M10" i="1" s="1"/>
  <c r="I11" i="1"/>
  <c r="J11" i="1" s="1"/>
  <c r="M11" i="1" s="1"/>
  <c r="I12" i="1"/>
  <c r="J12" i="1" s="1"/>
  <c r="M12" i="1" s="1"/>
  <c r="I13" i="1"/>
  <c r="J13" i="1" s="1"/>
  <c r="M13" i="1" s="1"/>
  <c r="I14" i="1"/>
  <c r="J14" i="1" s="1"/>
  <c r="M14" i="1" s="1"/>
  <c r="I15" i="1"/>
  <c r="J15" i="1" s="1"/>
  <c r="M15" i="1" s="1"/>
  <c r="I16" i="1"/>
  <c r="J16" i="1" s="1"/>
  <c r="M16" i="1" s="1"/>
  <c r="I17" i="1"/>
  <c r="J17" i="1" s="1"/>
  <c r="M17" i="1" s="1"/>
  <c r="I18" i="1"/>
  <c r="J18" i="1" s="1"/>
  <c r="M18" i="1" s="1"/>
  <c r="I19" i="1"/>
  <c r="J19" i="1" s="1"/>
  <c r="M19" i="1" s="1"/>
  <c r="I20" i="1"/>
  <c r="J20" i="1" s="1"/>
  <c r="M20" i="1" s="1"/>
  <c r="I21" i="1"/>
  <c r="J21" i="1" s="1"/>
  <c r="M21" i="1" s="1"/>
  <c r="I2" i="1"/>
  <c r="J2" i="1" s="1"/>
  <c r="B7" i="2" l="1"/>
  <c r="B6" i="2"/>
  <c r="B5" i="2"/>
  <c r="B4" i="2"/>
  <c r="M2" i="1"/>
  <c r="L2" i="1"/>
  <c r="K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<sst xmlns="http://schemas.openxmlformats.org/spreadsheetml/2006/main" count="83" uniqueCount="53">
  <si>
    <t>Employee ID</t>
  </si>
  <si>
    <t>Employee Name</t>
  </si>
  <si>
    <t>Department</t>
  </si>
  <si>
    <t>Location</t>
  </si>
  <si>
    <t>Basic Salary</t>
  </si>
  <si>
    <t>HRA</t>
  </si>
  <si>
    <t>Allowances</t>
  </si>
  <si>
    <t>Deductions</t>
  </si>
  <si>
    <t>Gross Salary</t>
  </si>
  <si>
    <t>Net Salary</t>
  </si>
  <si>
    <t>Annual Net Salary</t>
  </si>
  <si>
    <t>Salary Band</t>
  </si>
  <si>
    <t>Performance Bonus</t>
  </si>
  <si>
    <t>Bonus Rate</t>
  </si>
  <si>
    <t>Anu</t>
  </si>
  <si>
    <t>HR</t>
  </si>
  <si>
    <t>Chennai</t>
  </si>
  <si>
    <t>John</t>
  </si>
  <si>
    <t>IT</t>
  </si>
  <si>
    <t>Bengaluru</t>
  </si>
  <si>
    <t>Rahul</t>
  </si>
  <si>
    <t>Hyderabad</t>
  </si>
  <si>
    <t>Priya</t>
  </si>
  <si>
    <t>Finance</t>
  </si>
  <si>
    <t>David</t>
  </si>
  <si>
    <t>Sales</t>
  </si>
  <si>
    <t>Mumbai</t>
  </si>
  <si>
    <t>Meena</t>
  </si>
  <si>
    <t>Puducherry</t>
  </si>
  <si>
    <t>Karthik</t>
  </si>
  <si>
    <t>Divya</t>
  </si>
  <si>
    <t>Marketing</t>
  </si>
  <si>
    <t>Arun</t>
  </si>
  <si>
    <t>Sneha</t>
  </si>
  <si>
    <t>Vijay</t>
  </si>
  <si>
    <t>Kavya</t>
  </si>
  <si>
    <t>Suresh</t>
  </si>
  <si>
    <t>Nisha</t>
  </si>
  <si>
    <t>Mohan</t>
  </si>
  <si>
    <t>Lakshmi</t>
  </si>
  <si>
    <t>Ravi</t>
  </si>
  <si>
    <t>Pooja</t>
  </si>
  <si>
    <t>Gokul</t>
  </si>
  <si>
    <t>Isha</t>
  </si>
  <si>
    <t>Employee Payroll Summary</t>
  </si>
  <si>
    <t>Expected result</t>
  </si>
  <si>
    <t>Number of Employees</t>
  </si>
  <si>
    <t>Total Basic Salary</t>
  </si>
  <si>
    <t>Average Net Salary</t>
  </si>
  <si>
    <t>Highest Net Salary</t>
  </si>
  <si>
    <t>Lowest Net Salary</t>
  </si>
  <si>
    <t>Total Net Salary</t>
  </si>
  <si>
    <t>Number of IT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</si>
</sst>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49]\ #,##0.0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25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top style="thin">
          <color rgb="FF000000"/>
        </top>
        <bottom style="double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[$₹-449]\ #,##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₹-449]\ #,##0.00"/>
      <alignment horizontal="center" vertical="center" textRotation="0" wrapText="0" indent="0" justifyLastLine="0" shrinkToFit="0" readingOrder="0"/>
    </dxf>
    <dxf>
      <numFmt numFmtId="165" formatCode="[$₹-449]\ #,##0.00"/>
      <alignment horizontal="center" vertical="center" textRotation="0" wrapText="0" indent="0" justifyLastLine="0" shrinkToFit="0" readingOrder="0"/>
    </dxf>
    <dxf>
      <numFmt numFmtId="165" formatCode="[$₹-449]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[$₹-449]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[$₹-449]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[$₹-449]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[$₹-449]\ 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ck">
          <color rgb="FFFFFFFF"/>
        </bottom>
      </border>
    </dxf>
    <dxf>
      <border outline="0">
        <bottom style="thin">
          <color rgb="FFD9E2F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ployee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ta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B75B8-9D08-43C3-B0A3-DEF2C6915666}" name="Table1" displayName="Table1" ref="A1:H21" totalsRowShown="0" headerRowDxfId="24" dataDxfId="23" headerRowBorderDxfId="21" tableBorderDxfId="22">
  <autoFilter ref="A1:H21" xr:uid="{10EB75B8-9D08-43C3-B0A3-DEF2C6915666}"/>
  <tableColumns count="8">
    <tableColumn id="1" xr3:uid="{077F4D2A-B05A-441F-B292-4B49F80E6287}" name="Employee ID" dataDxfId="20"/>
    <tableColumn id="2" xr3:uid="{327CC4C2-BD31-451D-B294-C16C61DF2BF6}" name="Employee Name" dataDxfId="19"/>
    <tableColumn id="3" xr3:uid="{7AB471D3-FA99-4B58-AB9F-6DB6AED9945F}" name="Department" dataDxfId="18"/>
    <tableColumn id="4" xr3:uid="{7839223D-1BB3-4DE2-B78B-5D7D84BF58A3}" name="Location" dataDxfId="17"/>
    <tableColumn id="5" xr3:uid="{0FE6E08C-5DAC-4EA5-9392-1B334B49B549}" name="Basic Salary" dataDxfId="16"/>
    <tableColumn id="6" xr3:uid="{EB2EA237-4E9B-46F3-AE0C-78DD7B4A0557}" name="HRA" dataDxfId="15"/>
    <tableColumn id="7" xr3:uid="{025DE3A7-7E74-4BE3-9340-B1044A5E926F}" name="Allowances" dataDxfId="14"/>
    <tableColumn id="8" xr3:uid="{60E2AA3A-4D91-4802-A615-7DD81352C396}" name="Deductions" dataDxfId="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7673EE-5674-4D36-ACAD-8D4DFA42E7F6}" name="Table2" displayName="Table2" ref="I1:N21" totalsRowShown="0" headerRowDxfId="12">
  <autoFilter ref="I1:N21" xr:uid="{077673EE-5674-4D36-ACAD-8D4DFA42E7F6}"/>
  <tableColumns count="6">
    <tableColumn id="1" xr3:uid="{929D6D8A-9F0B-4134-AC8D-FC7275185784}" name="Gross Salary" dataDxfId="11">
      <calculatedColumnFormula>Table1[[#This Row],[Basic Salary]]+Table1[[#This Row],[HRA]]+Table1[[#This Row],[Allowances]]</calculatedColumnFormula>
    </tableColumn>
    <tableColumn id="2" xr3:uid="{A60DD8ED-DF4B-47A8-B6F3-6A6FFBDA379D}" name="Net Salary" dataDxfId="10">
      <calculatedColumnFormula>I2-Table1[[#This Row],[Deductions]]</calculatedColumnFormula>
    </tableColumn>
    <tableColumn id="3" xr3:uid="{E72B5A51-27BF-415B-B08B-8A34EFC518D3}" name="Annual Net Salary" dataDxfId="9">
      <calculatedColumnFormula>J2*12</calculatedColumnFormula>
    </tableColumn>
    <tableColumn id="4" xr3:uid="{94730D16-1781-43AC-B415-AE61F9AE3C82}" name="Salary Band" dataDxfId="8">
      <calculatedColumnFormula>IF(J2&gt;=45000,"High",IF(J2&gt;=35000,"Medium","Low"))</calculatedColumnFormula>
    </tableColumn>
    <tableColumn id="5" xr3:uid="{F9B6CC79-28E1-46CE-AF4A-7D9FA49D0366}" name="Performance Bonus" dataDxfId="7">
      <calculatedColumnFormula>J2*$N$2</calculatedColumnFormula>
    </tableColumn>
    <tableColumn id="6" xr3:uid="{4B81D8BC-9A74-490B-BA05-B87B55E92473}" name="Bonus Rate" dataDxfId="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C10275-5E5F-46A2-8275-0C39927EBB96}" name="Table3" displayName="Table3" ref="A1:B8" totalsRowShown="0" headerRowDxfId="5" headerRowBorderDxfId="3" tableBorderDxfId="4" totalsRowBorderDxfId="2">
  <autoFilter ref="A1:B8" xr:uid="{DFC10275-5E5F-46A2-8275-0C39927EBB96}"/>
  <tableColumns count="2">
    <tableColumn id="1" xr3:uid="{6A4A6194-A26B-44D3-8770-4C10BBAC38B6}" name="Employee Payroll Summary" dataDxfId="1"/>
    <tableColumn id="2" xr3:uid="{EC3144DE-C51E-4794-9710-32A8D0B45447}" name="Expected resul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sqref="A1:N21"/>
    </sheetView>
  </sheetViews>
  <sheetFormatPr defaultRowHeight="15"/>
  <cols>
    <col min="1" max="1" width="14.5703125" bestFit="1" customWidth="1"/>
    <col min="2" max="2" width="18.140625" bestFit="1" customWidth="1"/>
    <col min="3" max="3" width="14.28515625" bestFit="1" customWidth="1"/>
    <col min="4" max="4" width="11.140625" bestFit="1" customWidth="1"/>
    <col min="5" max="5" width="13.85546875" bestFit="1" customWidth="1"/>
    <col min="6" max="6" width="11.42578125" customWidth="1"/>
    <col min="7" max="7" width="13.5703125" bestFit="1" customWidth="1"/>
    <col min="8" max="8" width="13.42578125" bestFit="1" customWidth="1"/>
    <col min="9" max="9" width="14.28515625" style="1" bestFit="1" customWidth="1"/>
    <col min="10" max="10" width="12.5703125" style="1" bestFit="1" customWidth="1"/>
    <col min="11" max="11" width="19.7109375" style="1" bestFit="1" customWidth="1"/>
    <col min="12" max="12" width="13.85546875" style="1" bestFit="1" customWidth="1"/>
    <col min="13" max="13" width="21.140625" style="2" bestFit="1" customWidth="1"/>
    <col min="14" max="14" width="13.5703125" style="2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1" t="s">
        <v>13</v>
      </c>
    </row>
    <row r="2" spans="1:14">
      <c r="A2" s="12">
        <v>1001</v>
      </c>
      <c r="B2" s="12" t="s">
        <v>14</v>
      </c>
      <c r="C2" s="12" t="s">
        <v>15</v>
      </c>
      <c r="D2" s="12" t="s">
        <v>16</v>
      </c>
      <c r="E2" s="13">
        <v>32000</v>
      </c>
      <c r="F2" s="13">
        <v>1500</v>
      </c>
      <c r="G2" s="13">
        <v>1200</v>
      </c>
      <c r="H2" s="13">
        <v>500</v>
      </c>
      <c r="I2" s="14">
        <f>Table1[[#This Row],[Basic Salary]]+Table1[[#This Row],[HRA]]+Table1[[#This Row],[Allowances]]</f>
        <v>34700</v>
      </c>
      <c r="J2" s="14">
        <f>I2-Table1[[#This Row],[Deductions]]</f>
        <v>34200</v>
      </c>
      <c r="K2" s="14">
        <f>J2*12</f>
        <v>410400</v>
      </c>
      <c r="L2" s="15" t="str">
        <f>IF(J2&gt;=45000,"High",IF(J2&gt;=35000,"Medium","Low"))</f>
        <v>Low</v>
      </c>
      <c r="M2" s="16">
        <f>J2*$N$2</f>
        <v>1710</v>
      </c>
      <c r="N2" s="17">
        <v>0.05</v>
      </c>
    </row>
    <row r="3" spans="1:14">
      <c r="A3" s="12">
        <v>1002</v>
      </c>
      <c r="B3" s="12" t="s">
        <v>17</v>
      </c>
      <c r="C3" s="12" t="s">
        <v>18</v>
      </c>
      <c r="D3" s="12" t="s">
        <v>19</v>
      </c>
      <c r="E3" s="13">
        <v>45000</v>
      </c>
      <c r="F3" s="13">
        <v>2500</v>
      </c>
      <c r="G3" s="13">
        <v>1800</v>
      </c>
      <c r="H3" s="13">
        <v>700</v>
      </c>
      <c r="I3" s="14">
        <f>Table1[[#This Row],[Basic Salary]]+Table1[[#This Row],[HRA]]+Table1[[#This Row],[Allowances]]</f>
        <v>49300</v>
      </c>
      <c r="J3" s="14">
        <f>I3-Table1[[#This Row],[Deductions]]</f>
        <v>48600</v>
      </c>
      <c r="K3" s="14">
        <f t="shared" ref="K3:K21" si="0">J3*12</f>
        <v>583200</v>
      </c>
      <c r="L3" s="15" t="str">
        <f t="shared" ref="L3:L21" si="1">IF(J3&gt;=45000,"High",IF(J3&gt;=35000,"Medium","Low"))</f>
        <v>High</v>
      </c>
      <c r="M3" s="16">
        <f t="shared" ref="M3:M21" si="2">J3*$N$2</f>
        <v>2430</v>
      </c>
      <c r="N3" s="17">
        <v>0.05</v>
      </c>
    </row>
    <row r="4" spans="1:14">
      <c r="A4" s="12">
        <v>1003</v>
      </c>
      <c r="B4" s="12" t="s">
        <v>20</v>
      </c>
      <c r="C4" s="12" t="s">
        <v>18</v>
      </c>
      <c r="D4" s="12" t="s">
        <v>21</v>
      </c>
      <c r="E4" s="13">
        <v>42000</v>
      </c>
      <c r="F4" s="13">
        <v>2200</v>
      </c>
      <c r="G4" s="13">
        <v>1600</v>
      </c>
      <c r="H4" s="13">
        <v>600</v>
      </c>
      <c r="I4" s="14">
        <f>Table1[[#This Row],[Basic Salary]]+Table1[[#This Row],[HRA]]+Table1[[#This Row],[Allowances]]</f>
        <v>45800</v>
      </c>
      <c r="J4" s="14">
        <f>I4-Table1[[#This Row],[Deductions]]</f>
        <v>45200</v>
      </c>
      <c r="K4" s="14">
        <f t="shared" si="0"/>
        <v>542400</v>
      </c>
      <c r="L4" s="15" t="str">
        <f t="shared" si="1"/>
        <v>High</v>
      </c>
      <c r="M4" s="16">
        <f t="shared" si="2"/>
        <v>2260</v>
      </c>
      <c r="N4" s="17">
        <v>0.05</v>
      </c>
    </row>
    <row r="5" spans="1:14">
      <c r="A5" s="12">
        <v>1004</v>
      </c>
      <c r="B5" s="12" t="s">
        <v>22</v>
      </c>
      <c r="C5" s="12" t="s">
        <v>23</v>
      </c>
      <c r="D5" s="12" t="s">
        <v>16</v>
      </c>
      <c r="E5" s="13">
        <v>38000</v>
      </c>
      <c r="F5" s="13">
        <v>1800</v>
      </c>
      <c r="G5" s="13">
        <v>1400</v>
      </c>
      <c r="H5" s="13">
        <v>500</v>
      </c>
      <c r="I5" s="14">
        <f>Table1[[#This Row],[Basic Salary]]+Table1[[#This Row],[HRA]]+Table1[[#This Row],[Allowances]]</f>
        <v>41200</v>
      </c>
      <c r="J5" s="14">
        <f>I5-Table1[[#This Row],[Deductions]]</f>
        <v>40700</v>
      </c>
      <c r="K5" s="14">
        <f t="shared" si="0"/>
        <v>488400</v>
      </c>
      <c r="L5" s="15" t="str">
        <f t="shared" si="1"/>
        <v>Medium</v>
      </c>
      <c r="M5" s="16">
        <f t="shared" si="2"/>
        <v>2035</v>
      </c>
      <c r="N5" s="17">
        <v>0.05</v>
      </c>
    </row>
    <row r="6" spans="1:14">
      <c r="A6" s="12">
        <v>1005</v>
      </c>
      <c r="B6" s="12" t="s">
        <v>24</v>
      </c>
      <c r="C6" s="12" t="s">
        <v>25</v>
      </c>
      <c r="D6" s="12" t="s">
        <v>26</v>
      </c>
      <c r="E6" s="13">
        <v>35000</v>
      </c>
      <c r="F6" s="13">
        <v>2000</v>
      </c>
      <c r="G6" s="13">
        <v>1300</v>
      </c>
      <c r="H6" s="13">
        <v>800</v>
      </c>
      <c r="I6" s="14">
        <f>Table1[[#This Row],[Basic Salary]]+Table1[[#This Row],[HRA]]+Table1[[#This Row],[Allowances]]</f>
        <v>38300</v>
      </c>
      <c r="J6" s="14">
        <f>I6-Table1[[#This Row],[Deductions]]</f>
        <v>37500</v>
      </c>
      <c r="K6" s="14">
        <f t="shared" si="0"/>
        <v>450000</v>
      </c>
      <c r="L6" s="15" t="str">
        <f t="shared" si="1"/>
        <v>Medium</v>
      </c>
      <c r="M6" s="16">
        <f t="shared" si="2"/>
        <v>1875</v>
      </c>
      <c r="N6" s="17">
        <v>0.05</v>
      </c>
    </row>
    <row r="7" spans="1:14">
      <c r="A7" s="12">
        <v>1006</v>
      </c>
      <c r="B7" s="12" t="s">
        <v>27</v>
      </c>
      <c r="C7" s="12" t="s">
        <v>15</v>
      </c>
      <c r="D7" s="12" t="s">
        <v>28</v>
      </c>
      <c r="E7" s="13">
        <v>30000</v>
      </c>
      <c r="F7" s="13">
        <v>1200</v>
      </c>
      <c r="G7" s="13">
        <v>1000</v>
      </c>
      <c r="H7" s="13">
        <v>400</v>
      </c>
      <c r="I7" s="14">
        <f>Table1[[#This Row],[Basic Salary]]+Table1[[#This Row],[HRA]]+Table1[[#This Row],[Allowances]]</f>
        <v>32200</v>
      </c>
      <c r="J7" s="14">
        <f>I7-Table1[[#This Row],[Deductions]]</f>
        <v>31800</v>
      </c>
      <c r="K7" s="14">
        <f t="shared" si="0"/>
        <v>381600</v>
      </c>
      <c r="L7" s="15" t="str">
        <f t="shared" si="1"/>
        <v>Low</v>
      </c>
      <c r="M7" s="16">
        <f t="shared" si="2"/>
        <v>1590</v>
      </c>
      <c r="N7" s="17">
        <v>0.05</v>
      </c>
    </row>
    <row r="8" spans="1:14">
      <c r="A8" s="12">
        <v>1007</v>
      </c>
      <c r="B8" s="12" t="s">
        <v>29</v>
      </c>
      <c r="C8" s="12" t="s">
        <v>18</v>
      </c>
      <c r="D8" s="12" t="s">
        <v>16</v>
      </c>
      <c r="E8" s="13">
        <v>50000</v>
      </c>
      <c r="F8" s="13">
        <v>3000</v>
      </c>
      <c r="G8" s="13">
        <v>2000</v>
      </c>
      <c r="H8" s="13">
        <v>900</v>
      </c>
      <c r="I8" s="14">
        <f>Table1[[#This Row],[Basic Salary]]+Table1[[#This Row],[HRA]]+Table1[[#This Row],[Allowances]]</f>
        <v>55000</v>
      </c>
      <c r="J8" s="14">
        <f>I8-Table1[[#This Row],[Deductions]]</f>
        <v>54100</v>
      </c>
      <c r="K8" s="14">
        <f t="shared" si="0"/>
        <v>649200</v>
      </c>
      <c r="L8" s="15" t="str">
        <f>IF(J8&gt;=45000,"High",IF(J8&gt;=35000,"Medium","Low"))</f>
        <v>High</v>
      </c>
      <c r="M8" s="16">
        <f t="shared" si="2"/>
        <v>2705</v>
      </c>
      <c r="N8" s="17">
        <v>0.05</v>
      </c>
    </row>
    <row r="9" spans="1:14">
      <c r="A9" s="12">
        <v>1008</v>
      </c>
      <c r="B9" s="12" t="s">
        <v>30</v>
      </c>
      <c r="C9" s="12" t="s">
        <v>31</v>
      </c>
      <c r="D9" s="12" t="s">
        <v>19</v>
      </c>
      <c r="E9" s="13">
        <v>36000</v>
      </c>
      <c r="F9" s="13">
        <v>1700</v>
      </c>
      <c r="G9" s="13">
        <v>1500</v>
      </c>
      <c r="H9" s="13">
        <v>600</v>
      </c>
      <c r="I9" s="14">
        <f>Table1[[#This Row],[Basic Salary]]+Table1[[#This Row],[HRA]]+Table1[[#This Row],[Allowances]]</f>
        <v>39200</v>
      </c>
      <c r="J9" s="14">
        <f>I9-Table1[[#This Row],[Deductions]]</f>
        <v>38600</v>
      </c>
      <c r="K9" s="14">
        <f t="shared" si="0"/>
        <v>463200</v>
      </c>
      <c r="L9" s="15" t="str">
        <f t="shared" si="1"/>
        <v>Medium</v>
      </c>
      <c r="M9" s="16">
        <f t="shared" si="2"/>
        <v>1930</v>
      </c>
      <c r="N9" s="17">
        <v>0.05</v>
      </c>
    </row>
    <row r="10" spans="1:14">
      <c r="A10" s="12">
        <v>1009</v>
      </c>
      <c r="B10" s="12" t="s">
        <v>32</v>
      </c>
      <c r="C10" s="12" t="s">
        <v>23</v>
      </c>
      <c r="D10" s="12" t="s">
        <v>21</v>
      </c>
      <c r="E10" s="13">
        <v>40000</v>
      </c>
      <c r="F10" s="13">
        <v>1900</v>
      </c>
      <c r="G10" s="13">
        <v>1500</v>
      </c>
      <c r="H10" s="13">
        <v>500</v>
      </c>
      <c r="I10" s="14">
        <f>Table1[[#This Row],[Basic Salary]]+Table1[[#This Row],[HRA]]+Table1[[#This Row],[Allowances]]</f>
        <v>43400</v>
      </c>
      <c r="J10" s="14">
        <f>I10-Table1[[#This Row],[Deductions]]</f>
        <v>42900</v>
      </c>
      <c r="K10" s="14">
        <f t="shared" si="0"/>
        <v>514800</v>
      </c>
      <c r="L10" s="15" t="str">
        <f t="shared" si="1"/>
        <v>Medium</v>
      </c>
      <c r="M10" s="16">
        <f t="shared" si="2"/>
        <v>2145</v>
      </c>
      <c r="N10" s="17">
        <v>0.05</v>
      </c>
    </row>
    <row r="11" spans="1:14">
      <c r="A11" s="12">
        <v>1010</v>
      </c>
      <c r="B11" s="12" t="s">
        <v>33</v>
      </c>
      <c r="C11" s="12" t="s">
        <v>25</v>
      </c>
      <c r="D11" s="12" t="s">
        <v>28</v>
      </c>
      <c r="E11" s="13">
        <v>34000</v>
      </c>
      <c r="F11" s="13">
        <v>1800</v>
      </c>
      <c r="G11" s="13">
        <v>1200</v>
      </c>
      <c r="H11" s="13">
        <v>700</v>
      </c>
      <c r="I11" s="14">
        <f>Table1[[#This Row],[Basic Salary]]+Table1[[#This Row],[HRA]]+Table1[[#This Row],[Allowances]]</f>
        <v>37000</v>
      </c>
      <c r="J11" s="14">
        <f>I11-Table1[[#This Row],[Deductions]]</f>
        <v>36300</v>
      </c>
      <c r="K11" s="14">
        <f t="shared" si="0"/>
        <v>435600</v>
      </c>
      <c r="L11" s="15" t="str">
        <f t="shared" si="1"/>
        <v>Medium</v>
      </c>
      <c r="M11" s="16">
        <f t="shared" si="2"/>
        <v>1815</v>
      </c>
      <c r="N11" s="17">
        <v>0.05</v>
      </c>
    </row>
    <row r="12" spans="1:14">
      <c r="A12" s="12">
        <v>1011</v>
      </c>
      <c r="B12" s="12" t="s">
        <v>34</v>
      </c>
      <c r="C12" s="12" t="s">
        <v>18</v>
      </c>
      <c r="D12" s="12" t="s">
        <v>26</v>
      </c>
      <c r="E12" s="13">
        <v>47000</v>
      </c>
      <c r="F12" s="13">
        <v>2600</v>
      </c>
      <c r="G12" s="13">
        <v>1800</v>
      </c>
      <c r="H12" s="13">
        <v>800</v>
      </c>
      <c r="I12" s="14">
        <f>Table1[[#This Row],[Basic Salary]]+Table1[[#This Row],[HRA]]+Table1[[#This Row],[Allowances]]</f>
        <v>51400</v>
      </c>
      <c r="J12" s="14">
        <f>I12-Table1[[#This Row],[Deductions]]</f>
        <v>50600</v>
      </c>
      <c r="K12" s="14">
        <f t="shared" si="0"/>
        <v>607200</v>
      </c>
      <c r="L12" s="15" t="str">
        <f t="shared" si="1"/>
        <v>High</v>
      </c>
      <c r="M12" s="16">
        <f t="shared" si="2"/>
        <v>2530</v>
      </c>
      <c r="N12" s="17">
        <v>0.05</v>
      </c>
    </row>
    <row r="13" spans="1:14">
      <c r="A13" s="12">
        <v>1012</v>
      </c>
      <c r="B13" s="12" t="s">
        <v>35</v>
      </c>
      <c r="C13" s="12" t="s">
        <v>15</v>
      </c>
      <c r="D13" s="12" t="s">
        <v>16</v>
      </c>
      <c r="E13" s="13">
        <v>33000</v>
      </c>
      <c r="F13" s="13">
        <v>1400</v>
      </c>
      <c r="G13" s="13">
        <v>1100</v>
      </c>
      <c r="H13" s="13">
        <v>450</v>
      </c>
      <c r="I13" s="14">
        <f>Table1[[#This Row],[Basic Salary]]+Table1[[#This Row],[HRA]]+Table1[[#This Row],[Allowances]]</f>
        <v>35500</v>
      </c>
      <c r="J13" s="14">
        <f>I13-Table1[[#This Row],[Deductions]]</f>
        <v>35050</v>
      </c>
      <c r="K13" s="14">
        <f t="shared" si="0"/>
        <v>420600</v>
      </c>
      <c r="L13" s="15" t="str">
        <f t="shared" si="1"/>
        <v>Medium</v>
      </c>
      <c r="M13" s="16">
        <f t="shared" si="2"/>
        <v>1752.5</v>
      </c>
      <c r="N13" s="17">
        <v>0.05</v>
      </c>
    </row>
    <row r="14" spans="1:14">
      <c r="A14" s="12">
        <v>1013</v>
      </c>
      <c r="B14" s="12" t="s">
        <v>36</v>
      </c>
      <c r="C14" s="12" t="s">
        <v>23</v>
      </c>
      <c r="D14" s="12" t="s">
        <v>19</v>
      </c>
      <c r="E14" s="13">
        <v>41000</v>
      </c>
      <c r="F14" s="13">
        <v>2100</v>
      </c>
      <c r="G14" s="13">
        <v>1600</v>
      </c>
      <c r="H14" s="13">
        <v>550</v>
      </c>
      <c r="I14" s="14">
        <f>Table1[[#This Row],[Basic Salary]]+Table1[[#This Row],[HRA]]+Table1[[#This Row],[Allowances]]</f>
        <v>44700</v>
      </c>
      <c r="J14" s="14">
        <f>I14-Table1[[#This Row],[Deductions]]</f>
        <v>44150</v>
      </c>
      <c r="K14" s="14">
        <f t="shared" si="0"/>
        <v>529800</v>
      </c>
      <c r="L14" s="15" t="str">
        <f t="shared" si="1"/>
        <v>Medium</v>
      </c>
      <c r="M14" s="16">
        <f t="shared" si="2"/>
        <v>2207.5</v>
      </c>
      <c r="N14" s="17">
        <v>0.05</v>
      </c>
    </row>
    <row r="15" spans="1:14">
      <c r="A15" s="12">
        <v>1014</v>
      </c>
      <c r="B15" s="12" t="s">
        <v>37</v>
      </c>
      <c r="C15" s="12" t="s">
        <v>31</v>
      </c>
      <c r="D15" s="12" t="s">
        <v>21</v>
      </c>
      <c r="E15" s="13">
        <v>37000</v>
      </c>
      <c r="F15" s="13">
        <v>1600</v>
      </c>
      <c r="G15" s="13">
        <v>1400</v>
      </c>
      <c r="H15" s="13">
        <v>650</v>
      </c>
      <c r="I15" s="14">
        <f>Table1[[#This Row],[Basic Salary]]+Table1[[#This Row],[HRA]]+Table1[[#This Row],[Allowances]]</f>
        <v>40000</v>
      </c>
      <c r="J15" s="14">
        <f>I15-Table1[[#This Row],[Deductions]]</f>
        <v>39350</v>
      </c>
      <c r="K15" s="14">
        <f t="shared" si="0"/>
        <v>472200</v>
      </c>
      <c r="L15" s="15" t="str">
        <f t="shared" si="1"/>
        <v>Medium</v>
      </c>
      <c r="M15" s="16">
        <f t="shared" si="2"/>
        <v>1967.5</v>
      </c>
      <c r="N15" s="17">
        <v>0.05</v>
      </c>
    </row>
    <row r="16" spans="1:14">
      <c r="A16" s="12">
        <v>1015</v>
      </c>
      <c r="B16" s="12" t="s">
        <v>38</v>
      </c>
      <c r="C16" s="12" t="s">
        <v>25</v>
      </c>
      <c r="D16" s="12" t="s">
        <v>16</v>
      </c>
      <c r="E16" s="13">
        <v>39000</v>
      </c>
      <c r="F16" s="13">
        <v>2300</v>
      </c>
      <c r="G16" s="13">
        <v>1500</v>
      </c>
      <c r="H16" s="13">
        <v>750</v>
      </c>
      <c r="I16" s="14">
        <f>Table1[[#This Row],[Basic Salary]]+Table1[[#This Row],[HRA]]+Table1[[#This Row],[Allowances]]</f>
        <v>42800</v>
      </c>
      <c r="J16" s="14">
        <f>I16-Table1[[#This Row],[Deductions]]</f>
        <v>42050</v>
      </c>
      <c r="K16" s="14">
        <f t="shared" si="0"/>
        <v>504600</v>
      </c>
      <c r="L16" s="15" t="str">
        <f t="shared" si="1"/>
        <v>Medium</v>
      </c>
      <c r="M16" s="16">
        <f t="shared" si="2"/>
        <v>2102.5</v>
      </c>
      <c r="N16" s="17">
        <v>0.05</v>
      </c>
    </row>
    <row r="17" spans="1:14">
      <c r="A17" s="12">
        <v>1016</v>
      </c>
      <c r="B17" s="12" t="s">
        <v>39</v>
      </c>
      <c r="C17" s="12" t="s">
        <v>18</v>
      </c>
      <c r="D17" s="12" t="s">
        <v>28</v>
      </c>
      <c r="E17" s="13">
        <v>44000</v>
      </c>
      <c r="F17" s="13">
        <v>2400</v>
      </c>
      <c r="G17" s="13">
        <v>1700</v>
      </c>
      <c r="H17" s="13">
        <v>650</v>
      </c>
      <c r="I17" s="14">
        <f>Table1[[#This Row],[Basic Salary]]+Table1[[#This Row],[HRA]]+Table1[[#This Row],[Allowances]]</f>
        <v>48100</v>
      </c>
      <c r="J17" s="14">
        <f>I17-Table1[[#This Row],[Deductions]]</f>
        <v>47450</v>
      </c>
      <c r="K17" s="14">
        <f t="shared" si="0"/>
        <v>569400</v>
      </c>
      <c r="L17" s="15" t="str">
        <f t="shared" si="1"/>
        <v>High</v>
      </c>
      <c r="M17" s="16">
        <f t="shared" si="2"/>
        <v>2372.5</v>
      </c>
      <c r="N17" s="17">
        <v>0.05</v>
      </c>
    </row>
    <row r="18" spans="1:14">
      <c r="A18" s="12">
        <v>1017</v>
      </c>
      <c r="B18" s="12" t="s">
        <v>40</v>
      </c>
      <c r="C18" s="12" t="s">
        <v>23</v>
      </c>
      <c r="D18" s="12" t="s">
        <v>26</v>
      </c>
      <c r="E18" s="13">
        <v>43000</v>
      </c>
      <c r="F18" s="13">
        <v>2000</v>
      </c>
      <c r="G18" s="13">
        <v>1800</v>
      </c>
      <c r="H18" s="13">
        <v>500</v>
      </c>
      <c r="I18" s="14">
        <f>Table1[[#This Row],[Basic Salary]]+Table1[[#This Row],[HRA]]+Table1[[#This Row],[Allowances]]</f>
        <v>46800</v>
      </c>
      <c r="J18" s="14">
        <f>I18-Table1[[#This Row],[Deductions]]</f>
        <v>46300</v>
      </c>
      <c r="K18" s="14">
        <f t="shared" si="0"/>
        <v>555600</v>
      </c>
      <c r="L18" s="15" t="str">
        <f t="shared" si="1"/>
        <v>High</v>
      </c>
      <c r="M18" s="16">
        <f t="shared" si="2"/>
        <v>2315</v>
      </c>
      <c r="N18" s="17">
        <v>0.05</v>
      </c>
    </row>
    <row r="19" spans="1:14">
      <c r="A19" s="12">
        <v>1018</v>
      </c>
      <c r="B19" s="12" t="s">
        <v>41</v>
      </c>
      <c r="C19" s="12" t="s">
        <v>15</v>
      </c>
      <c r="D19" s="12" t="s">
        <v>19</v>
      </c>
      <c r="E19" s="13">
        <v>31000</v>
      </c>
      <c r="F19" s="13">
        <v>1300</v>
      </c>
      <c r="G19" s="13">
        <v>1000</v>
      </c>
      <c r="H19" s="13">
        <v>400</v>
      </c>
      <c r="I19" s="14">
        <f>Table1[[#This Row],[Basic Salary]]+Table1[[#This Row],[HRA]]+Table1[[#This Row],[Allowances]]</f>
        <v>33300</v>
      </c>
      <c r="J19" s="14">
        <f>I19-Table1[[#This Row],[Deductions]]</f>
        <v>32900</v>
      </c>
      <c r="K19" s="14">
        <f t="shared" si="0"/>
        <v>394800</v>
      </c>
      <c r="L19" s="15" t="str">
        <f t="shared" si="1"/>
        <v>Low</v>
      </c>
      <c r="M19" s="16">
        <f t="shared" si="2"/>
        <v>1645</v>
      </c>
      <c r="N19" s="17">
        <v>0.05</v>
      </c>
    </row>
    <row r="20" spans="1:14">
      <c r="A20" s="12">
        <v>1019</v>
      </c>
      <c r="B20" s="12" t="s">
        <v>42</v>
      </c>
      <c r="C20" s="12" t="s">
        <v>31</v>
      </c>
      <c r="D20" s="12" t="s">
        <v>16</v>
      </c>
      <c r="E20" s="13">
        <v>35500</v>
      </c>
      <c r="F20" s="13">
        <v>1750</v>
      </c>
      <c r="G20" s="13">
        <v>1350</v>
      </c>
      <c r="H20" s="13">
        <v>600</v>
      </c>
      <c r="I20" s="14">
        <f>Table1[[#This Row],[Basic Salary]]+Table1[[#This Row],[HRA]]+Table1[[#This Row],[Allowances]]</f>
        <v>38600</v>
      </c>
      <c r="J20" s="14">
        <f>I20-Table1[[#This Row],[Deductions]]</f>
        <v>38000</v>
      </c>
      <c r="K20" s="14">
        <f t="shared" si="0"/>
        <v>456000</v>
      </c>
      <c r="L20" s="15" t="str">
        <f t="shared" si="1"/>
        <v>Medium</v>
      </c>
      <c r="M20" s="16">
        <f t="shared" si="2"/>
        <v>1900</v>
      </c>
      <c r="N20" s="17">
        <v>0.05</v>
      </c>
    </row>
    <row r="21" spans="1:14">
      <c r="A21" s="12">
        <v>1020</v>
      </c>
      <c r="B21" s="12" t="s">
        <v>43</v>
      </c>
      <c r="C21" s="12" t="s">
        <v>25</v>
      </c>
      <c r="D21" s="12" t="s">
        <v>21</v>
      </c>
      <c r="E21" s="13">
        <v>36500</v>
      </c>
      <c r="F21" s="13">
        <v>1950</v>
      </c>
      <c r="G21" s="13">
        <v>1450</v>
      </c>
      <c r="H21" s="13">
        <v>700</v>
      </c>
      <c r="I21" s="14">
        <f>Table1[[#This Row],[Basic Salary]]+Table1[[#This Row],[HRA]]+Table1[[#This Row],[Allowances]]</f>
        <v>39900</v>
      </c>
      <c r="J21" s="14">
        <f>I21-Table1[[#This Row],[Deductions]]</f>
        <v>39200</v>
      </c>
      <c r="K21" s="14">
        <f t="shared" si="0"/>
        <v>470400</v>
      </c>
      <c r="L21" s="15" t="str">
        <f t="shared" si="1"/>
        <v>Medium</v>
      </c>
      <c r="M21" s="16">
        <f t="shared" si="2"/>
        <v>1960</v>
      </c>
      <c r="N21" s="17">
        <v>0.05</v>
      </c>
    </row>
  </sheetData>
  <conditionalFormatting sqref="J2:J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68AB-5D5C-481E-B490-C53FC58AA47B}">
  <dimension ref="A1:B8"/>
  <sheetViews>
    <sheetView workbookViewId="0">
      <selection activeCell="F8" sqref="F8"/>
    </sheetView>
  </sheetViews>
  <sheetFormatPr defaultRowHeight="15"/>
  <cols>
    <col min="1" max="1" width="28.42578125" bestFit="1" customWidth="1"/>
    <col min="2" max="2" width="17.5703125" customWidth="1"/>
  </cols>
  <sheetData>
    <row r="1" spans="1:2">
      <c r="A1" s="3" t="s">
        <v>44</v>
      </c>
      <c r="B1" s="6" t="s">
        <v>45</v>
      </c>
    </row>
    <row r="2" spans="1:2">
      <c r="A2" s="4" t="s">
        <v>46</v>
      </c>
      <c r="B2" s="7">
        <f>COUNTA('Employee Data sheet'!B2:B21)</f>
        <v>20</v>
      </c>
    </row>
    <row r="3" spans="1:2">
      <c r="A3" s="4" t="s">
        <v>47</v>
      </c>
      <c r="B3" s="7">
        <f>SUM(BasicSalary)</f>
        <v>769000</v>
      </c>
    </row>
    <row r="4" spans="1:2">
      <c r="A4" s="4" t="s">
        <v>48</v>
      </c>
      <c r="B4" s="7">
        <f>AVERAGE(NetSalary)</f>
        <v>41247.5</v>
      </c>
    </row>
    <row r="5" spans="1:2">
      <c r="A5" s="4" t="s">
        <v>49</v>
      </c>
      <c r="B5" s="7">
        <f>MAX(NetSalary)</f>
        <v>54100</v>
      </c>
    </row>
    <row r="6" spans="1:2">
      <c r="A6" s="4" t="s">
        <v>50</v>
      </c>
      <c r="B6" s="7">
        <f>MIN(NetSalary)</f>
        <v>31800</v>
      </c>
    </row>
    <row r="7" spans="1:2">
      <c r="A7" s="4" t="s">
        <v>51</v>
      </c>
      <c r="B7" s="7">
        <f>SUM(NetSalary)</f>
        <v>824950</v>
      </c>
    </row>
    <row r="8" spans="1:2">
      <c r="A8" s="5" t="s">
        <v>52</v>
      </c>
      <c r="B8" s="8">
        <f>COUNTIF('Employee Data sheet'!C2:C21,"it")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2026-10-16T14:55:20Z</dcterms:created>
  <dcterms:modified xsi:type="dcterms:W3CDTF">2026-10-16T15:55:28Z</dcterms:modified>
  <cp:category/>
  <cp:contentStatus/>
</cp:coreProperties>
</file>